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E519CC2F-3D02-4691-B785-E34CD73019A2}" xr6:coauthVersionLast="47" xr6:coauthVersionMax="47" xr10:uidLastSave="{00000000-0000-0000-0000-000000000000}"/>
  <bookViews>
    <workbookView xWindow="-25710" yWindow="8820" windowWidth="25820" windowHeight="13900" xr2:uid="{00000000-000D-0000-FFFF-FFFF00000000}"/>
  </bookViews>
  <sheets>
    <sheet name="1745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1" l="1"/>
  <c r="D22" i="1"/>
  <c r="C22" i="1"/>
  <c r="AC23" i="1"/>
  <c r="Z23" i="1"/>
  <c r="W23" i="1"/>
  <c r="T23" i="1"/>
  <c r="Q23" i="1"/>
  <c r="N23" i="1"/>
  <c r="K23" i="1"/>
  <c r="H23" i="1"/>
  <c r="E23" i="1"/>
</calcChain>
</file>

<file path=xl/sharedStrings.xml><?xml version="1.0" encoding="utf-8"?>
<sst xmlns="http://schemas.openxmlformats.org/spreadsheetml/2006/main" count="111" uniqueCount="49">
  <si>
    <t/>
  </si>
  <si>
    <t>Theme: Population</t>
  </si>
  <si>
    <t>Subject: Religion</t>
  </si>
  <si>
    <t>Topic: Census of Population and General Household Survey</t>
  </si>
  <si>
    <t>Table Title: Resident Population Aged 15 Years and Over by Age Group, Religion and Sex (Census of Population 2020)</t>
  </si>
  <si>
    <t>Data last updated: 16/06/2021</t>
  </si>
  <si>
    <t>Source: SINGAPORE DEPARTMENT OF STATISTICS</t>
  </si>
  <si>
    <t>Number</t>
  </si>
  <si>
    <t>Age Group</t>
  </si>
  <si>
    <t>Total</t>
  </si>
  <si>
    <t>No Religion</t>
  </si>
  <si>
    <t>Buddhism</t>
  </si>
  <si>
    <t>Taoism1/</t>
  </si>
  <si>
    <t>Islam</t>
  </si>
  <si>
    <t>Hinduism</t>
  </si>
  <si>
    <t>Sikhism</t>
  </si>
  <si>
    <t>Christianity</t>
  </si>
  <si>
    <t>Other Religions</t>
  </si>
  <si>
    <t>Males</t>
  </si>
  <si>
    <t>Females</t>
  </si>
  <si>
    <t>Catholic</t>
  </si>
  <si>
    <t>Other Christians</t>
  </si>
  <si>
    <t xml:space="preserve">  20 - 24</t>
  </si>
  <si>
    <t xml:space="preserve">  25 - 29</t>
  </si>
  <si>
    <t xml:space="preserve">  30 - 34</t>
  </si>
  <si>
    <t xml:space="preserve">  35 - 39</t>
  </si>
  <si>
    <t xml:space="preserve">  40 - 44</t>
  </si>
  <si>
    <t xml:space="preserve">  45 - 49</t>
  </si>
  <si>
    <t xml:space="preserve">  50 - 54</t>
  </si>
  <si>
    <t>Definitions and Footnotes:</t>
  </si>
  <si>
    <t>1/ 'Taoism' includes Chinese Traditional Beliefs.</t>
  </si>
  <si>
    <t>Resident Population:</t>
  </si>
  <si>
    <t>Resident population comprises Singapore citizens and permanent residents. The latter group refers to non-citizens who have been granted permanent residence in Singapore.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</si>
  <si>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</si>
  <si>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</si>
  <si>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</si>
  <si>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</si>
  <si>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</si>
  <si>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</si>
  <si>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</si>
  <si>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</si>
  <si>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</si>
  <si>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Tables:</t>
  </si>
  <si>
    <t>Resident Population Aged 15 Years and Over</t>
  </si>
  <si>
    <t>Related Information:</t>
  </si>
  <si>
    <t>Census of Population and General Household Survey Releases</t>
  </si>
  <si>
    <t>Generated by: SingStat Table Builder</t>
  </si>
  <si>
    <t>Date generated: 09/04/2026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</si>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</sst>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3" fontId="0" fillId="0" borderId="2" xfId="0" applyNumberFormat="1" applyBorder="1" applyAlignment="1">
      <alignment horizontal="right"/>
    </xf>
    <xf numFmtId="0" fontId="1"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ablebuilder.singstat.gov.sg/table/CT/8433" TargetMode="External"/><Relationship Id="rId2" Type="http://schemas.openxmlformats.org/officeDocument/2006/relationships/hyperlink" Target="https://tablebuilder.singstat.gov.sg/table/CT/6367" TargetMode="External"/><Relationship Id="rId1" Type="http://schemas.openxmlformats.org/officeDocument/2006/relationships/hyperlink" Target="https://tablebuilder.singstat.gov.sg/table/CT/6354" TargetMode="External"/><Relationship Id="rId4" Type="http://schemas.openxmlformats.org/officeDocument/2006/relationships/hyperlink" Target="https://www.singstat.gov.sg/find-data/explore-data-themes/population/population-and-population-structure/related-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0"/>
  <sheetViews>
    <sheetView tabSelected="1" topLeftCell="Q1" workbookViewId="0">
      <selection activeCell="S4" sqref="S4"/>
    </sheetView>
  </sheetViews>
  <sheetFormatPr defaultRowHeight="15" x14ac:dyDescent="0.25"/>
  <cols>
    <col min="1" max="32" width="24" customWidth="1"/>
  </cols>
  <sheetData>
    <row r="1" spans="1:3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row>
    <row r="2" spans="1:32" x14ac:dyDescent="0.25">
      <c r="A2" t="s">
        <v>1</v>
      </c>
    </row>
    <row r="3" spans="1:32" x14ac:dyDescent="0.25">
      <c r="A3" t="s">
        <v>2</v>
      </c>
    </row>
    <row r="4" spans="1:32" x14ac:dyDescent="0.25">
      <c r="A4" t="s">
        <v>3</v>
      </c>
      <c r="S4">
        <f>31.1+20+8.8+5+15.6+7+11.9+0.6</f>
        <v>100</v>
      </c>
    </row>
    <row r="5" spans="1:32" x14ac:dyDescent="0.25">
      <c r="A5" t="s">
        <v>4</v>
      </c>
    </row>
    <row r="7" spans="1:32" x14ac:dyDescent="0.25">
      <c r="A7" t="s">
        <v>5</v>
      </c>
    </row>
    <row r="8" spans="1:32" x14ac:dyDescent="0.25">
      <c r="A8" t="s">
        <v>6</v>
      </c>
    </row>
    <row r="10" spans="1:32" x14ac:dyDescent="0.25">
      <c r="AE10" s="1" t="s">
        <v>7</v>
      </c>
    </row>
    <row r="11" spans="1:32" x14ac:dyDescent="0.25">
      <c r="A11" s="6" t="s">
        <v>8</v>
      </c>
      <c r="B11" s="6" t="s">
        <v>9</v>
      </c>
      <c r="C11" s="6"/>
      <c r="D11" s="6"/>
      <c r="E11" s="6" t="s">
        <v>10</v>
      </c>
      <c r="F11" s="6"/>
      <c r="G11" s="6"/>
      <c r="H11" s="6" t="s">
        <v>11</v>
      </c>
      <c r="I11" s="6"/>
      <c r="J11" s="6"/>
      <c r="K11" s="6" t="s">
        <v>12</v>
      </c>
      <c r="L11" s="6"/>
      <c r="M11" s="6"/>
      <c r="N11" s="6" t="s">
        <v>13</v>
      </c>
      <c r="O11" s="6"/>
      <c r="P11" s="6"/>
      <c r="Q11" s="6" t="s">
        <v>14</v>
      </c>
      <c r="R11" s="6"/>
      <c r="S11" s="6"/>
      <c r="T11" s="6" t="s">
        <v>15</v>
      </c>
      <c r="U11" s="6"/>
      <c r="V11" s="6"/>
      <c r="W11" s="6" t="s">
        <v>16</v>
      </c>
      <c r="X11" s="6"/>
      <c r="Y11" s="6"/>
      <c r="Z11" s="6"/>
      <c r="AA11" s="6"/>
      <c r="AB11" s="6"/>
      <c r="AC11" s="6" t="s">
        <v>17</v>
      </c>
      <c r="AD11" s="6"/>
      <c r="AE11" s="6"/>
    </row>
    <row r="12" spans="1:32" x14ac:dyDescent="0.25">
      <c r="A12" s="6"/>
      <c r="B12" s="6" t="s">
        <v>9</v>
      </c>
      <c r="C12" s="6" t="s">
        <v>18</v>
      </c>
      <c r="D12" s="6" t="s">
        <v>19</v>
      </c>
      <c r="E12" s="6" t="s">
        <v>9</v>
      </c>
      <c r="F12" s="6" t="s">
        <v>18</v>
      </c>
      <c r="G12" s="6" t="s">
        <v>19</v>
      </c>
      <c r="H12" s="6" t="s">
        <v>9</v>
      </c>
      <c r="I12" s="6" t="s">
        <v>18</v>
      </c>
      <c r="J12" s="6" t="s">
        <v>19</v>
      </c>
      <c r="K12" s="6" t="s">
        <v>9</v>
      </c>
      <c r="L12" s="6" t="s">
        <v>18</v>
      </c>
      <c r="M12" s="6" t="s">
        <v>19</v>
      </c>
      <c r="N12" s="6" t="s">
        <v>9</v>
      </c>
      <c r="O12" s="6" t="s">
        <v>18</v>
      </c>
      <c r="P12" s="6" t="s">
        <v>19</v>
      </c>
      <c r="Q12" s="6" t="s">
        <v>9</v>
      </c>
      <c r="R12" s="6" t="s">
        <v>18</v>
      </c>
      <c r="S12" s="6" t="s">
        <v>19</v>
      </c>
      <c r="T12" s="6" t="s">
        <v>9</v>
      </c>
      <c r="U12" s="6" t="s">
        <v>18</v>
      </c>
      <c r="V12" s="6" t="s">
        <v>19</v>
      </c>
      <c r="W12" s="6" t="s">
        <v>20</v>
      </c>
      <c r="X12" s="6"/>
      <c r="Y12" s="6"/>
      <c r="Z12" s="6" t="s">
        <v>21</v>
      </c>
      <c r="AA12" s="6"/>
      <c r="AB12" s="6"/>
      <c r="AC12" s="6" t="s">
        <v>9</v>
      </c>
      <c r="AD12" s="6" t="s">
        <v>18</v>
      </c>
      <c r="AE12" s="6" t="s">
        <v>19</v>
      </c>
    </row>
    <row r="13" spans="1:32" x14ac:dyDescent="0.25">
      <c r="A13" s="6"/>
      <c r="B13" s="6"/>
      <c r="C13" s="6"/>
      <c r="D13" s="6"/>
      <c r="E13" s="6"/>
      <c r="F13" s="6"/>
      <c r="G13" s="6"/>
      <c r="H13" s="6"/>
      <c r="I13" s="6"/>
      <c r="J13" s="6"/>
      <c r="K13" s="6"/>
      <c r="L13" s="6"/>
      <c r="M13" s="6"/>
      <c r="N13" s="6"/>
      <c r="O13" s="6"/>
      <c r="P13" s="6"/>
      <c r="Q13" s="6"/>
      <c r="R13" s="6"/>
      <c r="S13" s="6"/>
      <c r="T13" s="6"/>
      <c r="U13" s="6"/>
      <c r="V13" s="6"/>
      <c r="W13" s="2" t="s">
        <v>9</v>
      </c>
      <c r="X13" s="2" t="s">
        <v>18</v>
      </c>
      <c r="Y13" s="2" t="s">
        <v>19</v>
      </c>
      <c r="Z13" s="2" t="s">
        <v>9</v>
      </c>
      <c r="AA13" s="2" t="s">
        <v>18</v>
      </c>
      <c r="AB13" s="2" t="s">
        <v>19</v>
      </c>
      <c r="AC13" s="6"/>
      <c r="AD13" s="6"/>
      <c r="AE13" s="6"/>
    </row>
    <row r="14" spans="1:32" x14ac:dyDescent="0.25">
      <c r="A14" s="3" t="s">
        <v>9</v>
      </c>
      <c r="B14" s="4">
        <v>3459093</v>
      </c>
      <c r="C14" s="4">
        <v>1663560</v>
      </c>
      <c r="D14" s="4">
        <v>1795534</v>
      </c>
      <c r="E14" s="4">
        <v>692528</v>
      </c>
      <c r="F14" s="4">
        <v>356071</v>
      </c>
      <c r="G14" s="4">
        <v>336457</v>
      </c>
      <c r="H14" s="4">
        <v>1074159</v>
      </c>
      <c r="I14" s="4">
        <v>512493</v>
      </c>
      <c r="J14" s="4">
        <v>561666</v>
      </c>
      <c r="K14" s="4">
        <v>303960</v>
      </c>
      <c r="L14" s="4">
        <v>149247</v>
      </c>
      <c r="M14" s="4">
        <v>154713</v>
      </c>
      <c r="N14" s="4">
        <v>539251</v>
      </c>
      <c r="O14" s="4">
        <v>263134</v>
      </c>
      <c r="P14" s="4">
        <v>276117</v>
      </c>
      <c r="Q14" s="4">
        <v>172963</v>
      </c>
      <c r="R14" s="4">
        <v>86414</v>
      </c>
      <c r="S14" s="4">
        <v>86548</v>
      </c>
      <c r="T14" s="4">
        <v>12051</v>
      </c>
      <c r="U14" s="4">
        <v>6196</v>
      </c>
      <c r="V14" s="4">
        <v>5855</v>
      </c>
      <c r="W14" s="4">
        <v>242681</v>
      </c>
      <c r="X14" s="4">
        <v>106084</v>
      </c>
      <c r="Y14" s="4">
        <v>136597</v>
      </c>
      <c r="Z14" s="4">
        <v>411674</v>
      </c>
      <c r="AA14" s="4">
        <v>179298</v>
      </c>
      <c r="AB14" s="4">
        <v>232376</v>
      </c>
      <c r="AC14" s="4">
        <v>9827</v>
      </c>
      <c r="AD14" s="4">
        <v>4623</v>
      </c>
      <c r="AE14" s="4">
        <v>5204</v>
      </c>
    </row>
    <row r="15" spans="1:32" x14ac:dyDescent="0.25">
      <c r="A15" s="3" t="s">
        <v>22</v>
      </c>
      <c r="B15" s="4">
        <v>240781</v>
      </c>
      <c r="C15" s="4">
        <v>123657</v>
      </c>
      <c r="D15" s="4">
        <v>117125</v>
      </c>
      <c r="E15" s="4">
        <v>58972</v>
      </c>
      <c r="F15" s="4">
        <v>30503</v>
      </c>
      <c r="G15" s="4">
        <v>28470</v>
      </c>
      <c r="H15" s="4">
        <v>61735</v>
      </c>
      <c r="I15" s="4">
        <v>32421</v>
      </c>
      <c r="J15" s="4">
        <v>29315</v>
      </c>
      <c r="K15" s="4">
        <v>11998</v>
      </c>
      <c r="L15" s="4">
        <v>6084</v>
      </c>
      <c r="M15" s="4">
        <v>5913</v>
      </c>
      <c r="N15" s="4">
        <v>51511</v>
      </c>
      <c r="O15" s="4">
        <v>26571</v>
      </c>
      <c r="P15" s="4">
        <v>24940</v>
      </c>
      <c r="Q15" s="4">
        <v>11044</v>
      </c>
      <c r="R15" s="4">
        <v>5362</v>
      </c>
      <c r="S15" s="4">
        <v>5682</v>
      </c>
      <c r="T15" s="4">
        <v>1007</v>
      </c>
      <c r="U15" s="4">
        <v>554</v>
      </c>
      <c r="V15" s="4">
        <v>453</v>
      </c>
      <c r="W15" s="4">
        <v>15847</v>
      </c>
      <c r="X15" s="4">
        <v>7778</v>
      </c>
      <c r="Y15" s="4">
        <v>8069</v>
      </c>
      <c r="Z15" s="4">
        <v>28090</v>
      </c>
      <c r="AA15" s="4">
        <v>14073</v>
      </c>
      <c r="AB15" s="4">
        <v>14016</v>
      </c>
      <c r="AC15" s="4">
        <v>577</v>
      </c>
      <c r="AD15" s="4">
        <v>310</v>
      </c>
      <c r="AE15" s="4">
        <v>267</v>
      </c>
    </row>
    <row r="16" spans="1:32" x14ac:dyDescent="0.25">
      <c r="A16" s="3" t="s">
        <v>23</v>
      </c>
      <c r="B16" s="4">
        <v>287103</v>
      </c>
      <c r="C16" s="4">
        <v>142027</v>
      </c>
      <c r="D16" s="4">
        <v>145075</v>
      </c>
      <c r="E16" s="4">
        <v>74577</v>
      </c>
      <c r="F16" s="4">
        <v>38931</v>
      </c>
      <c r="G16" s="4">
        <v>35646</v>
      </c>
      <c r="H16" s="4">
        <v>71450</v>
      </c>
      <c r="I16" s="4">
        <v>34767</v>
      </c>
      <c r="J16" s="4">
        <v>36683</v>
      </c>
      <c r="K16" s="4">
        <v>17014</v>
      </c>
      <c r="L16" s="4">
        <v>8288</v>
      </c>
      <c r="M16" s="4">
        <v>8726</v>
      </c>
      <c r="N16" s="4">
        <v>58981</v>
      </c>
      <c r="O16" s="4">
        <v>29177</v>
      </c>
      <c r="P16" s="4">
        <v>29804</v>
      </c>
      <c r="Q16" s="4">
        <v>12023</v>
      </c>
      <c r="R16" s="4">
        <v>5718</v>
      </c>
      <c r="S16" s="4">
        <v>6306</v>
      </c>
      <c r="T16" s="4">
        <v>1020</v>
      </c>
      <c r="U16" s="4">
        <v>574</v>
      </c>
      <c r="V16" s="4">
        <v>445</v>
      </c>
      <c r="W16" s="4">
        <v>16243</v>
      </c>
      <c r="X16" s="4">
        <v>7917</v>
      </c>
      <c r="Y16" s="4">
        <v>8326</v>
      </c>
      <c r="Z16" s="4">
        <v>35106</v>
      </c>
      <c r="AA16" s="4">
        <v>16308</v>
      </c>
      <c r="AB16" s="4">
        <v>18798</v>
      </c>
      <c r="AC16" s="4">
        <v>688</v>
      </c>
      <c r="AD16" s="4">
        <v>349</v>
      </c>
      <c r="AE16" s="4">
        <v>339</v>
      </c>
    </row>
    <row r="17" spans="1:31" x14ac:dyDescent="0.25">
      <c r="A17" s="3" t="s">
        <v>24</v>
      </c>
      <c r="B17" s="4">
        <v>298499</v>
      </c>
      <c r="C17" s="4">
        <v>141496</v>
      </c>
      <c r="D17" s="4">
        <v>157003</v>
      </c>
      <c r="E17" s="4">
        <v>78606</v>
      </c>
      <c r="F17" s="4">
        <v>37504</v>
      </c>
      <c r="G17" s="4">
        <v>41102</v>
      </c>
      <c r="H17" s="4">
        <v>81006</v>
      </c>
      <c r="I17" s="4">
        <v>37921</v>
      </c>
      <c r="J17" s="4">
        <v>43085</v>
      </c>
      <c r="K17" s="4">
        <v>18641</v>
      </c>
      <c r="L17" s="4">
        <v>9471</v>
      </c>
      <c r="M17" s="4">
        <v>9170</v>
      </c>
      <c r="N17" s="4">
        <v>54546</v>
      </c>
      <c r="O17" s="4">
        <v>27095</v>
      </c>
      <c r="P17" s="4">
        <v>27451</v>
      </c>
      <c r="Q17" s="4">
        <v>11681</v>
      </c>
      <c r="R17" s="4">
        <v>5302</v>
      </c>
      <c r="S17" s="4">
        <v>6378</v>
      </c>
      <c r="T17" s="4">
        <v>1172</v>
      </c>
      <c r="U17" s="4">
        <v>608</v>
      </c>
      <c r="V17" s="4">
        <v>564</v>
      </c>
      <c r="W17" s="4">
        <v>17464</v>
      </c>
      <c r="X17" s="4">
        <v>7698</v>
      </c>
      <c r="Y17" s="4">
        <v>9766</v>
      </c>
      <c r="Z17" s="4">
        <v>34839</v>
      </c>
      <c r="AA17" s="4">
        <v>15635</v>
      </c>
      <c r="AB17" s="4">
        <v>19204</v>
      </c>
      <c r="AC17" s="4">
        <v>544</v>
      </c>
      <c r="AD17" s="4">
        <v>262</v>
      </c>
      <c r="AE17" s="4">
        <v>282</v>
      </c>
    </row>
    <row r="18" spans="1:31" x14ac:dyDescent="0.25">
      <c r="A18" s="3" t="s">
        <v>25</v>
      </c>
      <c r="B18" s="4">
        <v>298623</v>
      </c>
      <c r="C18" s="4">
        <v>139484</v>
      </c>
      <c r="D18" s="4">
        <v>159139</v>
      </c>
      <c r="E18" s="4">
        <v>69948</v>
      </c>
      <c r="F18" s="4">
        <v>33851</v>
      </c>
      <c r="G18" s="4">
        <v>36097</v>
      </c>
      <c r="H18" s="4">
        <v>86834</v>
      </c>
      <c r="I18" s="4">
        <v>40758</v>
      </c>
      <c r="J18" s="4">
        <v>46077</v>
      </c>
      <c r="K18" s="4">
        <v>21178</v>
      </c>
      <c r="L18" s="4">
        <v>10274</v>
      </c>
      <c r="M18" s="4">
        <v>10904</v>
      </c>
      <c r="N18" s="4">
        <v>47857</v>
      </c>
      <c r="O18" s="4">
        <v>23248</v>
      </c>
      <c r="P18" s="4">
        <v>24609</v>
      </c>
      <c r="Q18" s="4">
        <v>19033</v>
      </c>
      <c r="R18" s="4">
        <v>8150</v>
      </c>
      <c r="S18" s="4">
        <v>10883</v>
      </c>
      <c r="T18" s="4">
        <v>785</v>
      </c>
      <c r="U18" s="4">
        <v>461</v>
      </c>
      <c r="V18" s="4">
        <v>324</v>
      </c>
      <c r="W18" s="4">
        <v>19571</v>
      </c>
      <c r="X18" s="4">
        <v>8742</v>
      </c>
      <c r="Y18" s="4">
        <v>10829</v>
      </c>
      <c r="Z18" s="4">
        <v>32551</v>
      </c>
      <c r="AA18" s="4">
        <v>13641</v>
      </c>
      <c r="AB18" s="4">
        <v>18911</v>
      </c>
      <c r="AC18" s="4">
        <v>865</v>
      </c>
      <c r="AD18" s="4">
        <v>359</v>
      </c>
      <c r="AE18" s="4">
        <v>506</v>
      </c>
    </row>
    <row r="19" spans="1:31" x14ac:dyDescent="0.25">
      <c r="A19" s="3" t="s">
        <v>26</v>
      </c>
      <c r="B19" s="4">
        <v>298605</v>
      </c>
      <c r="C19" s="4">
        <v>139205</v>
      </c>
      <c r="D19" s="4">
        <v>159400</v>
      </c>
      <c r="E19" s="4">
        <v>63492</v>
      </c>
      <c r="F19" s="4">
        <v>30165</v>
      </c>
      <c r="G19" s="4">
        <v>33327</v>
      </c>
      <c r="H19" s="4">
        <v>93373</v>
      </c>
      <c r="I19" s="4">
        <v>43331</v>
      </c>
      <c r="J19" s="4">
        <v>50042</v>
      </c>
      <c r="K19" s="4">
        <v>22064</v>
      </c>
      <c r="L19" s="4">
        <v>11335</v>
      </c>
      <c r="M19" s="4">
        <v>10729</v>
      </c>
      <c r="N19" s="4">
        <v>37186</v>
      </c>
      <c r="O19" s="4">
        <v>17631</v>
      </c>
      <c r="P19" s="4">
        <v>19555</v>
      </c>
      <c r="Q19" s="4">
        <v>22524</v>
      </c>
      <c r="R19" s="4">
        <v>11517</v>
      </c>
      <c r="S19" s="4">
        <v>11006</v>
      </c>
      <c r="T19" s="4">
        <v>793</v>
      </c>
      <c r="U19" s="4">
        <v>408</v>
      </c>
      <c r="V19" s="4">
        <v>385</v>
      </c>
      <c r="W19" s="4">
        <v>23838</v>
      </c>
      <c r="X19" s="4">
        <v>10023</v>
      </c>
      <c r="Y19" s="4">
        <v>13815</v>
      </c>
      <c r="Z19" s="4">
        <v>34685</v>
      </c>
      <c r="AA19" s="4">
        <v>14506</v>
      </c>
      <c r="AB19" s="4">
        <v>20178</v>
      </c>
      <c r="AC19" s="4">
        <v>651</v>
      </c>
      <c r="AD19" s="4">
        <v>288</v>
      </c>
      <c r="AE19" s="4">
        <v>363</v>
      </c>
    </row>
    <row r="20" spans="1:31" x14ac:dyDescent="0.25">
      <c r="A20" s="3" t="s">
        <v>27</v>
      </c>
      <c r="B20" s="4">
        <v>311730</v>
      </c>
      <c r="C20" s="4">
        <v>150934</v>
      </c>
      <c r="D20" s="4">
        <v>160795</v>
      </c>
      <c r="E20" s="4">
        <v>59769</v>
      </c>
      <c r="F20" s="4">
        <v>29624</v>
      </c>
      <c r="G20" s="4">
        <v>30145</v>
      </c>
      <c r="H20" s="4">
        <v>101781</v>
      </c>
      <c r="I20" s="4">
        <v>49956</v>
      </c>
      <c r="J20" s="4">
        <v>51826</v>
      </c>
      <c r="K20" s="4">
        <v>20704</v>
      </c>
      <c r="L20" s="4">
        <v>10186</v>
      </c>
      <c r="M20" s="4">
        <v>10518</v>
      </c>
      <c r="N20" s="4">
        <v>39766</v>
      </c>
      <c r="O20" s="4">
        <v>19179</v>
      </c>
      <c r="P20" s="4">
        <v>20588</v>
      </c>
      <c r="Q20" s="4">
        <v>21089</v>
      </c>
      <c r="R20" s="4">
        <v>12382</v>
      </c>
      <c r="S20" s="4">
        <v>8707</v>
      </c>
      <c r="T20" s="4">
        <v>991</v>
      </c>
      <c r="U20" s="4">
        <v>533</v>
      </c>
      <c r="V20" s="4">
        <v>458</v>
      </c>
      <c r="W20" s="4">
        <v>24681</v>
      </c>
      <c r="X20" s="4">
        <v>10982</v>
      </c>
      <c r="Y20" s="4">
        <v>13700</v>
      </c>
      <c r="Z20" s="4">
        <v>41851</v>
      </c>
      <c r="AA20" s="4">
        <v>17607</v>
      </c>
      <c r="AB20" s="4">
        <v>24244</v>
      </c>
      <c r="AC20" s="4">
        <v>1096</v>
      </c>
      <c r="AD20" s="4">
        <v>486</v>
      </c>
      <c r="AE20" s="4">
        <v>610</v>
      </c>
    </row>
    <row r="21" spans="1:31" x14ac:dyDescent="0.25">
      <c r="A21" s="3" t="s">
        <v>28</v>
      </c>
      <c r="B21" s="4">
        <v>294348</v>
      </c>
      <c r="C21" s="4">
        <v>143505</v>
      </c>
      <c r="D21" s="4">
        <v>150842</v>
      </c>
      <c r="E21" s="4">
        <v>51382</v>
      </c>
      <c r="F21" s="4">
        <v>26330</v>
      </c>
      <c r="G21" s="4">
        <v>25052</v>
      </c>
      <c r="H21" s="4">
        <v>100084</v>
      </c>
      <c r="I21" s="4">
        <v>48113</v>
      </c>
      <c r="J21" s="4">
        <v>51971</v>
      </c>
      <c r="K21" s="4">
        <v>22621</v>
      </c>
      <c r="L21" s="4">
        <v>11876</v>
      </c>
      <c r="M21" s="4">
        <v>10746</v>
      </c>
      <c r="N21" s="4">
        <v>43629</v>
      </c>
      <c r="O21" s="4">
        <v>20579</v>
      </c>
      <c r="P21" s="4">
        <v>23050</v>
      </c>
      <c r="Q21" s="4">
        <v>16514</v>
      </c>
      <c r="R21" s="4">
        <v>9455</v>
      </c>
      <c r="S21" s="4">
        <v>7060</v>
      </c>
      <c r="T21" s="4">
        <v>1164</v>
      </c>
      <c r="U21" s="4">
        <v>629</v>
      </c>
      <c r="V21" s="4">
        <v>535</v>
      </c>
      <c r="W21" s="4">
        <v>21214</v>
      </c>
      <c r="X21" s="4">
        <v>9842</v>
      </c>
      <c r="Y21" s="4">
        <v>11371</v>
      </c>
      <c r="Z21" s="4">
        <v>36895</v>
      </c>
      <c r="AA21" s="4">
        <v>16233</v>
      </c>
      <c r="AB21" s="4">
        <v>20663</v>
      </c>
      <c r="AC21" s="4">
        <v>844</v>
      </c>
      <c r="AD21" s="4">
        <v>449</v>
      </c>
      <c r="AE21" s="4">
        <v>395</v>
      </c>
    </row>
    <row r="22" spans="1:31" x14ac:dyDescent="0.25">
      <c r="C22">
        <f>C14/$B$14</f>
        <v>0.48092375660324832</v>
      </c>
      <c r="D22">
        <f>D14/$B$14</f>
        <v>0.51907653248987529</v>
      </c>
    </row>
    <row r="23" spans="1:31" x14ac:dyDescent="0.25">
      <c r="E23">
        <f>E14/$B$14</f>
        <v>0.20020508266184228</v>
      </c>
      <c r="H23">
        <f>H14/$B$14</f>
        <v>0.31053198049315239</v>
      </c>
      <c r="K23">
        <f>K14/$B$14</f>
        <v>8.7872745832505803E-2</v>
      </c>
      <c r="N23">
        <f>N14/$B$14</f>
        <v>0.15589375596435251</v>
      </c>
      <c r="Q23">
        <f>Q14/$B$14</f>
        <v>5.0002413927581597E-2</v>
      </c>
      <c r="T23">
        <f>T14/$B$14</f>
        <v>3.4838612318315813E-3</v>
      </c>
      <c r="W23">
        <f>W14/$B$14</f>
        <v>7.0157408314838604E-2</v>
      </c>
      <c r="Z23">
        <f>Z14/$B$14</f>
        <v>0.11901212254194958</v>
      </c>
      <c r="AC23">
        <f>AC14/$B$14</f>
        <v>2.8409181250692015E-3</v>
      </c>
    </row>
    <row r="24" spans="1:31" s="5" customFormat="1" x14ac:dyDescent="0.25">
      <c r="A24" s="5" t="s">
        <v>29</v>
      </c>
    </row>
    <row r="25" spans="1:31" x14ac:dyDescent="0.25">
      <c r="A25" t="s">
        <v>30</v>
      </c>
    </row>
    <row r="27" spans="1:31" x14ac:dyDescent="0.25">
      <c r="A27" t="s">
        <v>31</v>
      </c>
    </row>
    <row r="28" spans="1:31" x14ac:dyDescent="0.25">
      <c r="A28" t="s">
        <v>32</v>
      </c>
    </row>
    <row r="30" spans="1:31" s="5" customFormat="1" x14ac:dyDescent="0.25">
      <c r="A30" s="5" t="s">
        <v>33</v>
      </c>
    </row>
    <row r="31" spans="1:31" x14ac:dyDescent="0.25">
      <c r="A31" t="s">
        <v>34</v>
      </c>
    </row>
    <row r="32" spans="1:31" x14ac:dyDescent="0.25">
      <c r="A32" t="s">
        <v>35</v>
      </c>
    </row>
    <row r="33" spans="1:1" x14ac:dyDescent="0.25">
      <c r="A33" t="s">
        <v>36</v>
      </c>
    </row>
    <row r="34" spans="1:1" x14ac:dyDescent="0.25">
      <c r="A34" t="s">
        <v>37</v>
      </c>
    </row>
    <row r="35" spans="1:1" x14ac:dyDescent="0.25">
      <c r="A35" t="s">
        <v>38</v>
      </c>
    </row>
    <row r="36" spans="1:1" x14ac:dyDescent="0.25">
      <c r="A36" t="s">
        <v>39</v>
      </c>
    </row>
    <row r="37" spans="1:1" x14ac:dyDescent="0.25">
      <c r="A37" t="s">
        <v>40</v>
      </c>
    </row>
    <row r="38" spans="1:1" x14ac:dyDescent="0.25">
      <c r="A38" t="s">
        <v>41</v>
      </c>
    </row>
    <row r="40" spans="1:1" s="5" customFormat="1" x14ac:dyDescent="0.25">
      <c r="A40" s="5" t="s">
        <v>42</v>
      </c>
    </row>
    <row r="41" spans="1:1" x14ac:dyDescent="0.25">
      <c r="A41" t="s">
        <v>43</v>
      </c>
    </row>
    <row r="42" spans="1:1" x14ac:dyDescent="0.25">
      <c r="A42" t="s">
        <v>43</v>
      </c>
    </row>
    <row r="43" spans="1:1" x14ac:dyDescent="0.25">
      <c r="A43" t="s">
        <v>43</v>
      </c>
    </row>
    <row r="45" spans="1:1" s="5" customFormat="1" x14ac:dyDescent="0.25">
      <c r="A45" s="5" t="s">
        <v>44</v>
      </c>
    </row>
    <row r="46" spans="1:1" x14ac:dyDescent="0.25">
      <c r="A46" t="s">
        <v>45</v>
      </c>
    </row>
    <row r="48" spans="1:1" x14ac:dyDescent="0.25">
      <c r="A48" t="s">
        <v>46</v>
      </c>
    </row>
    <row r="49" spans="1:1" x14ac:dyDescent="0.25">
      <c r="A49" t="s">
        <v>47</v>
      </c>
    </row>
    <row r="50" spans="1:1" x14ac:dyDescent="0.25">
      <c r="A50" t="s">
        <v>48</v>
      </c>
    </row>
  </sheetData>
  <mergeCells count="36">
    <mergeCell ref="U12:U13"/>
    <mergeCell ref="V12:V13"/>
    <mergeCell ref="AC12:AC13"/>
    <mergeCell ref="AD12:AD13"/>
    <mergeCell ref="AE12:AE13"/>
    <mergeCell ref="P12:P13"/>
    <mergeCell ref="Q12:Q13"/>
    <mergeCell ref="R12:R13"/>
    <mergeCell ref="S12:S13"/>
    <mergeCell ref="T12:T13"/>
    <mergeCell ref="K12:K13"/>
    <mergeCell ref="L12:L13"/>
    <mergeCell ref="M12:M13"/>
    <mergeCell ref="N12:N13"/>
    <mergeCell ref="O12:O13"/>
    <mergeCell ref="Q11:S11"/>
    <mergeCell ref="T11:V11"/>
    <mergeCell ref="W11:AB11"/>
    <mergeCell ref="AC11:AE11"/>
    <mergeCell ref="A11:A13"/>
    <mergeCell ref="W12:Y12"/>
    <mergeCell ref="Z12:AB12"/>
    <mergeCell ref="B12:B13"/>
    <mergeCell ref="C12:C13"/>
    <mergeCell ref="D12:D13"/>
    <mergeCell ref="E12:E13"/>
    <mergeCell ref="F12:F13"/>
    <mergeCell ref="G12:G13"/>
    <mergeCell ref="H12:H13"/>
    <mergeCell ref="I12:I13"/>
    <mergeCell ref="J12:J13"/>
    <mergeCell ref="B11:D11"/>
    <mergeCell ref="E11:G11"/>
    <mergeCell ref="H11:J11"/>
    <mergeCell ref="K11:M11"/>
    <mergeCell ref="N11:P11"/>
  </mergeCells>
  <hyperlinks>
    <hyperlink ref="A41" r:id="rId1" xr:uid="{00000000-0004-0000-0000-000000000000}"/>
    <hyperlink ref="A42" r:id="rId2" xr:uid="{00000000-0004-0000-0000-000001000000}"/>
    <hyperlink ref="A43" r:id="rId3" xr:uid="{00000000-0004-0000-0000-000002000000}"/>
    <hyperlink ref="A46" r:id="rId4" xr:uid="{00000000-0004-0000-0000-000003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17458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2026-04-09T05:05:10Z</dcterms:created>
  <dcterms:modified xsi:type="dcterms:W3CDTF">2026-04-09T05:17:35Z</dcterms:modified>
</cp:coreProperties>
</file>