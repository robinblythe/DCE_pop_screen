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711D9B51-D3D4-481A-8D5A-334E4D9C1A3D}" xr6:coauthVersionLast="47" xr6:coauthVersionMax="47" xr10:uidLastSave="{00000000-0000-0000-0000-000000000000}"/>
  <bookViews>
    <workbookView xWindow="-25710" yWindow="8820" windowWidth="25820" windowHeight="13900" xr2:uid="{00000000-000D-0000-FFFF-FFFF00000000}"/>
  </bookViews>
  <sheets>
    <sheet name="1746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c r="AA22" i="1"/>
  <c r="V22" i="1"/>
  <c r="Q22" i="1"/>
  <c r="L22" i="1"/>
  <c r="G22" i="1"/>
  <c r="D22" i="1"/>
  <c r="E22" i="1"/>
  <c r="F22" i="1"/>
  <c r="C22" i="1"/>
</calcChain>
</file>

<file path=xl/sharedStrings.xml><?xml version="1.0" encoding="utf-8"?>
<sst xmlns="http://schemas.openxmlformats.org/spreadsheetml/2006/main" count="142" uniqueCount="48">
  <si>
    <t/>
  </si>
  <si>
    <t>Theme: Population</t>
  </si>
  <si>
    <t>Subject: Marital Status, Marriages and Divorces</t>
  </si>
  <si>
    <t>Topic: Census of Population and General Household Survey</t>
  </si>
  <si>
    <t>Table Title: Resident Population Aged 15 Years and Over by Age Group, Marital Status, Sex and Highest Qualification Attained (Census of Population 2020)</t>
  </si>
  <si>
    <t>Data last updated: 16/06/2021</t>
  </si>
  <si>
    <t>Source: SINGAPORE DEPARTMENT OF STATISTICS</t>
  </si>
  <si>
    <t>Number</t>
  </si>
  <si>
    <t>Age Group</t>
  </si>
  <si>
    <t>Total</t>
  </si>
  <si>
    <t>Below Secondary</t>
  </si>
  <si>
    <t>Secondary</t>
  </si>
  <si>
    <t>Post-Secondary (Non-Tertiary)</t>
  </si>
  <si>
    <t>Diploma1/ &amp; Professional Qualification</t>
  </si>
  <si>
    <t>University</t>
  </si>
  <si>
    <t>Single</t>
  </si>
  <si>
    <t>Married</t>
  </si>
  <si>
    <t>Widowed</t>
  </si>
  <si>
    <t>Divorced/Separated</t>
  </si>
  <si>
    <t xml:space="preserve">  20 - 24</t>
  </si>
  <si>
    <t>-</t>
  </si>
  <si>
    <t xml:space="preserve">  25 - 29</t>
  </si>
  <si>
    <t xml:space="preserve">  30 - 34</t>
  </si>
  <si>
    <t xml:space="preserve">  35 - 39</t>
  </si>
  <si>
    <t xml:space="preserve">  40 - 44</t>
  </si>
  <si>
    <t xml:space="preserve">  45 - 49</t>
  </si>
  <si>
    <t xml:space="preserve">  50 - 54</t>
  </si>
  <si>
    <t>Definitions and Footnotes:</t>
  </si>
  <si>
    <t>Note: Data pertain to residents who were not attending educational institutions as full-time students and include those who were upgrading their qualifications through part-time courses.</t>
  </si>
  <si>
    <t>1/ 'Diploma' includes Polytechnic and other diplomas.</t>
  </si>
  <si>
    <t>Resident Population:</t>
  </si>
  <si>
    <t>Resident population comprises Singapore citizens and permanent residents. The latter group refers to non-citizens who have been granted permanent residence in Singapore.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</si>
  <si>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</si>
  <si>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</si>
  <si>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</si>
  <si>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</si>
  <si>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</si>
  <si>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</si>
  <si>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</si>
  <si>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</si>
  <si>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</si>
  <si>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Tables:</t>
  </si>
  <si>
    <t>Resident Population Aged 15 Years and Over</t>
  </si>
  <si>
    <t>Related Information:</t>
  </si>
  <si>
    <t>Census of Population and General Household Survey Releases</t>
  </si>
  <si>
    <t>Generated by: SingStat Table Builder</t>
  </si>
  <si>
    <t>Date generated: 09/04/2026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</si>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</sst>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3" fontId="0" fillId="0" borderId="2" xfId="0" applyNumberFormat="1" applyBorder="1" applyAlignment="1">
      <alignment horizontal="right"/>
    </xf>
    <xf numFmtId="164" fontId="0" fillId="0" borderId="2" xfId="0" applyNumberFormat="1" applyBorder="1" applyAlignment="1">
      <alignment horizontal="right"/>
    </xf>
    <xf numFmtId="0" fontId="1"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singstat.gov.sg/find-data/explore-data-themes/population/population-and-population-structure/related-information" TargetMode="External"/><Relationship Id="rId1" Type="http://schemas.openxmlformats.org/officeDocument/2006/relationships/hyperlink" Target="https://tablebuilder.singstat.gov.sg/table/CT/81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9"/>
  <sheetViews>
    <sheetView tabSelected="1" topLeftCell="W1" workbookViewId="0">
      <selection activeCell="AA2" sqref="AA2"/>
    </sheetView>
  </sheetViews>
  <sheetFormatPr defaultRowHeight="15" x14ac:dyDescent="0.25"/>
  <cols>
    <col min="1" max="32" width="24" customWidth="1"/>
  </cols>
  <sheetData>
    <row r="1" spans="1:3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row>
    <row r="2" spans="1:32" x14ac:dyDescent="0.25">
      <c r="A2" t="s">
        <v>1</v>
      </c>
      <c r="AA2">
        <f>24.4+16.1+27.4+32.1</f>
        <v>100</v>
      </c>
    </row>
    <row r="3" spans="1:32" x14ac:dyDescent="0.25">
      <c r="A3" t="s">
        <v>2</v>
      </c>
    </row>
    <row r="4" spans="1:32" x14ac:dyDescent="0.25">
      <c r="A4" t="s">
        <v>3</v>
      </c>
    </row>
    <row r="5" spans="1:32" x14ac:dyDescent="0.25">
      <c r="A5" t="s">
        <v>4</v>
      </c>
    </row>
    <row r="7" spans="1:32" x14ac:dyDescent="0.25">
      <c r="A7" t="s">
        <v>5</v>
      </c>
    </row>
    <row r="8" spans="1:32" x14ac:dyDescent="0.25">
      <c r="A8" t="s">
        <v>6</v>
      </c>
    </row>
    <row r="10" spans="1:32" x14ac:dyDescent="0.25">
      <c r="AE10" s="1" t="s">
        <v>7</v>
      </c>
    </row>
    <row r="11" spans="1:32" x14ac:dyDescent="0.25">
      <c r="A11" s="7" t="s">
        <v>8</v>
      </c>
      <c r="B11" s="7" t="s">
        <v>9</v>
      </c>
      <c r="C11" s="7"/>
      <c r="D11" s="7"/>
      <c r="E11" s="7"/>
      <c r="F11" s="7"/>
      <c r="G11" s="7" t="s">
        <v>10</v>
      </c>
      <c r="H11" s="7"/>
      <c r="I11" s="7"/>
      <c r="J11" s="7"/>
      <c r="K11" s="7"/>
      <c r="L11" s="7" t="s">
        <v>11</v>
      </c>
      <c r="M11" s="7"/>
      <c r="N11" s="7"/>
      <c r="O11" s="7"/>
      <c r="P11" s="7"/>
      <c r="Q11" s="7" t="s">
        <v>12</v>
      </c>
      <c r="R11" s="7"/>
      <c r="S11" s="7"/>
      <c r="T11" s="7"/>
      <c r="U11" s="7"/>
      <c r="V11" s="7" t="s">
        <v>13</v>
      </c>
      <c r="W11" s="7"/>
      <c r="X11" s="7"/>
      <c r="Y11" s="7"/>
      <c r="Z11" s="7"/>
      <c r="AA11" s="7" t="s">
        <v>14</v>
      </c>
      <c r="AB11" s="7"/>
      <c r="AC11" s="7"/>
      <c r="AD11" s="7"/>
      <c r="AE11" s="7"/>
    </row>
    <row r="12" spans="1:32" x14ac:dyDescent="0.25">
      <c r="A12" s="7"/>
      <c r="B12" s="2" t="s">
        <v>9</v>
      </c>
      <c r="C12" s="2" t="s">
        <v>15</v>
      </c>
      <c r="D12" s="2" t="s">
        <v>16</v>
      </c>
      <c r="E12" s="2" t="s">
        <v>17</v>
      </c>
      <c r="F12" s="2" t="s">
        <v>18</v>
      </c>
      <c r="G12" s="2" t="s">
        <v>9</v>
      </c>
      <c r="H12" s="2" t="s">
        <v>15</v>
      </c>
      <c r="I12" s="2" t="s">
        <v>16</v>
      </c>
      <c r="J12" s="2" t="s">
        <v>17</v>
      </c>
      <c r="K12" s="2" t="s">
        <v>18</v>
      </c>
      <c r="L12" s="2" t="s">
        <v>9</v>
      </c>
      <c r="M12" s="2" t="s">
        <v>15</v>
      </c>
      <c r="N12" s="2" t="s">
        <v>16</v>
      </c>
      <c r="O12" s="2" t="s">
        <v>17</v>
      </c>
      <c r="P12" s="2" t="s">
        <v>18</v>
      </c>
      <c r="Q12" s="2" t="s">
        <v>9</v>
      </c>
      <c r="R12" s="2" t="s">
        <v>15</v>
      </c>
      <c r="S12" s="2" t="s">
        <v>16</v>
      </c>
      <c r="T12" s="2" t="s">
        <v>17</v>
      </c>
      <c r="U12" s="2" t="s">
        <v>18</v>
      </c>
      <c r="V12" s="2" t="s">
        <v>9</v>
      </c>
      <c r="W12" s="2" t="s">
        <v>15</v>
      </c>
      <c r="X12" s="2" t="s">
        <v>16</v>
      </c>
      <c r="Y12" s="2" t="s">
        <v>17</v>
      </c>
      <c r="Z12" s="2" t="s">
        <v>18</v>
      </c>
      <c r="AA12" s="2" t="s">
        <v>9</v>
      </c>
      <c r="AB12" s="2" t="s">
        <v>15</v>
      </c>
      <c r="AC12" s="2" t="s">
        <v>16</v>
      </c>
      <c r="AD12" s="2" t="s">
        <v>17</v>
      </c>
      <c r="AE12" s="2" t="s">
        <v>18</v>
      </c>
    </row>
    <row r="13" spans="1:32" x14ac:dyDescent="0.25">
      <c r="A13" s="7"/>
      <c r="B13" s="2" t="s">
        <v>9</v>
      </c>
      <c r="C13" s="2" t="s">
        <v>9</v>
      </c>
      <c r="D13" s="2" t="s">
        <v>9</v>
      </c>
      <c r="E13" s="2" t="s">
        <v>9</v>
      </c>
      <c r="F13" s="2" t="s">
        <v>9</v>
      </c>
      <c r="G13" s="2" t="s">
        <v>9</v>
      </c>
      <c r="H13" s="2" t="s">
        <v>9</v>
      </c>
      <c r="I13" s="2" t="s">
        <v>9</v>
      </c>
      <c r="J13" s="2" t="s">
        <v>9</v>
      </c>
      <c r="K13" s="2" t="s">
        <v>9</v>
      </c>
      <c r="L13" s="2" t="s">
        <v>9</v>
      </c>
      <c r="M13" s="2" t="s">
        <v>9</v>
      </c>
      <c r="N13" s="2" t="s">
        <v>9</v>
      </c>
      <c r="O13" s="2" t="s">
        <v>9</v>
      </c>
      <c r="P13" s="2" t="s">
        <v>9</v>
      </c>
      <c r="Q13" s="2" t="s">
        <v>9</v>
      </c>
      <c r="R13" s="2" t="s">
        <v>9</v>
      </c>
      <c r="S13" s="2" t="s">
        <v>9</v>
      </c>
      <c r="T13" s="2" t="s">
        <v>9</v>
      </c>
      <c r="U13" s="2" t="s">
        <v>9</v>
      </c>
      <c r="V13" s="2" t="s">
        <v>9</v>
      </c>
      <c r="W13" s="2" t="s">
        <v>9</v>
      </c>
      <c r="X13" s="2" t="s">
        <v>9</v>
      </c>
      <c r="Y13" s="2" t="s">
        <v>9</v>
      </c>
      <c r="Z13" s="2" t="s">
        <v>9</v>
      </c>
      <c r="AA13" s="2" t="s">
        <v>9</v>
      </c>
      <c r="AB13" s="2" t="s">
        <v>9</v>
      </c>
      <c r="AC13" s="2" t="s">
        <v>9</v>
      </c>
      <c r="AD13" s="2" t="s">
        <v>9</v>
      </c>
      <c r="AE13" s="2" t="s">
        <v>9</v>
      </c>
    </row>
    <row r="14" spans="1:32" x14ac:dyDescent="0.25">
      <c r="A14" s="3" t="s">
        <v>9</v>
      </c>
      <c r="B14" s="4">
        <v>3140436</v>
      </c>
      <c r="C14" s="4">
        <v>775711</v>
      </c>
      <c r="D14" s="4">
        <v>2031836</v>
      </c>
      <c r="E14" s="4">
        <v>183224</v>
      </c>
      <c r="F14" s="4">
        <v>149665</v>
      </c>
      <c r="G14" s="4">
        <v>765869</v>
      </c>
      <c r="H14" s="4">
        <v>83048</v>
      </c>
      <c r="I14" s="4">
        <v>499819</v>
      </c>
      <c r="J14" s="4">
        <v>135422</v>
      </c>
      <c r="K14" s="4">
        <v>47580</v>
      </c>
      <c r="L14" s="4">
        <v>505564</v>
      </c>
      <c r="M14" s="4">
        <v>90731</v>
      </c>
      <c r="N14" s="4">
        <v>355374</v>
      </c>
      <c r="O14" s="4">
        <v>24572</v>
      </c>
      <c r="P14" s="4">
        <v>34886</v>
      </c>
      <c r="Q14" s="4">
        <v>341886</v>
      </c>
      <c r="R14" s="4">
        <v>104968</v>
      </c>
      <c r="S14" s="4">
        <v>207348</v>
      </c>
      <c r="T14" s="4">
        <v>10148</v>
      </c>
      <c r="U14" s="4">
        <v>19422</v>
      </c>
      <c r="V14" s="4">
        <v>519933</v>
      </c>
      <c r="W14" s="4">
        <v>183603</v>
      </c>
      <c r="X14" s="4">
        <v>308889</v>
      </c>
      <c r="Y14" s="4">
        <v>6296</v>
      </c>
      <c r="Z14" s="4">
        <v>21144</v>
      </c>
      <c r="AA14" s="4">
        <v>1007183</v>
      </c>
      <c r="AB14" s="4">
        <v>313360</v>
      </c>
      <c r="AC14" s="4">
        <v>660405</v>
      </c>
      <c r="AD14" s="4">
        <v>6786</v>
      </c>
      <c r="AE14" s="4">
        <v>26632</v>
      </c>
    </row>
    <row r="15" spans="1:32" x14ac:dyDescent="0.25">
      <c r="A15" s="3" t="s">
        <v>19</v>
      </c>
      <c r="B15" s="4">
        <v>134440</v>
      </c>
      <c r="C15" s="4">
        <v>127893</v>
      </c>
      <c r="D15" s="4">
        <v>6060</v>
      </c>
      <c r="E15" s="5" t="s">
        <v>20</v>
      </c>
      <c r="F15" s="4">
        <v>487</v>
      </c>
      <c r="G15" s="4">
        <v>5219</v>
      </c>
      <c r="H15" s="4">
        <v>4358</v>
      </c>
      <c r="I15" s="4">
        <v>707</v>
      </c>
      <c r="J15" s="5" t="s">
        <v>20</v>
      </c>
      <c r="K15" s="4">
        <v>154</v>
      </c>
      <c r="L15" s="4">
        <v>15023</v>
      </c>
      <c r="M15" s="4">
        <v>13216</v>
      </c>
      <c r="N15" s="4">
        <v>1657</v>
      </c>
      <c r="O15" s="5" t="s">
        <v>20</v>
      </c>
      <c r="P15" s="4">
        <v>150</v>
      </c>
      <c r="Q15" s="4">
        <v>29479</v>
      </c>
      <c r="R15" s="4">
        <v>27736</v>
      </c>
      <c r="S15" s="4">
        <v>1601</v>
      </c>
      <c r="T15" s="5" t="s">
        <v>20</v>
      </c>
      <c r="U15" s="4">
        <v>142</v>
      </c>
      <c r="V15" s="4">
        <v>59546</v>
      </c>
      <c r="W15" s="4">
        <v>57888</v>
      </c>
      <c r="X15" s="4">
        <v>1623</v>
      </c>
      <c r="Y15" s="5" t="s">
        <v>20</v>
      </c>
      <c r="Z15" s="4">
        <v>34</v>
      </c>
      <c r="AA15" s="4">
        <v>25173</v>
      </c>
      <c r="AB15" s="4">
        <v>24694</v>
      </c>
      <c r="AC15" s="4">
        <v>470</v>
      </c>
      <c r="AD15" s="5" t="s">
        <v>20</v>
      </c>
      <c r="AE15" s="4">
        <v>8</v>
      </c>
    </row>
    <row r="16" spans="1:32" x14ac:dyDescent="0.25">
      <c r="A16" s="3" t="s">
        <v>21</v>
      </c>
      <c r="B16" s="4">
        <v>268873</v>
      </c>
      <c r="C16" s="4">
        <v>198899</v>
      </c>
      <c r="D16" s="4">
        <v>67490</v>
      </c>
      <c r="E16" s="4">
        <v>57</v>
      </c>
      <c r="F16" s="4">
        <v>2428</v>
      </c>
      <c r="G16" s="4">
        <v>7804</v>
      </c>
      <c r="H16" s="4">
        <v>4120</v>
      </c>
      <c r="I16" s="4">
        <v>3378</v>
      </c>
      <c r="J16" s="5" t="s">
        <v>20</v>
      </c>
      <c r="K16" s="4">
        <v>306</v>
      </c>
      <c r="L16" s="4">
        <v>15888</v>
      </c>
      <c r="M16" s="4">
        <v>9136</v>
      </c>
      <c r="N16" s="4">
        <v>6227</v>
      </c>
      <c r="O16" s="4">
        <v>13</v>
      </c>
      <c r="P16" s="4">
        <v>511</v>
      </c>
      <c r="Q16" s="4">
        <v>29022</v>
      </c>
      <c r="R16" s="4">
        <v>18893</v>
      </c>
      <c r="S16" s="4">
        <v>9505</v>
      </c>
      <c r="T16" s="4">
        <v>19</v>
      </c>
      <c r="U16" s="4">
        <v>606</v>
      </c>
      <c r="V16" s="4">
        <v>65964</v>
      </c>
      <c r="W16" s="4">
        <v>47621</v>
      </c>
      <c r="X16" s="4">
        <v>17660</v>
      </c>
      <c r="Y16" s="4">
        <v>12</v>
      </c>
      <c r="Z16" s="4">
        <v>671</v>
      </c>
      <c r="AA16" s="4">
        <v>150195</v>
      </c>
      <c r="AB16" s="4">
        <v>119128</v>
      </c>
      <c r="AC16" s="4">
        <v>30720</v>
      </c>
      <c r="AD16" s="4">
        <v>13</v>
      </c>
      <c r="AE16" s="4">
        <v>334</v>
      </c>
    </row>
    <row r="17" spans="1:31" x14ac:dyDescent="0.25">
      <c r="A17" s="3" t="s">
        <v>22</v>
      </c>
      <c r="B17" s="4">
        <v>295980</v>
      </c>
      <c r="C17" s="4">
        <v>109287</v>
      </c>
      <c r="D17" s="4">
        <v>180143</v>
      </c>
      <c r="E17" s="4">
        <v>180</v>
      </c>
      <c r="F17" s="4">
        <v>6370</v>
      </c>
      <c r="G17" s="4">
        <v>11464</v>
      </c>
      <c r="H17" s="4">
        <v>3462</v>
      </c>
      <c r="I17" s="4">
        <v>7195</v>
      </c>
      <c r="J17" s="4">
        <v>50</v>
      </c>
      <c r="K17" s="4">
        <v>758</v>
      </c>
      <c r="L17" s="4">
        <v>20777</v>
      </c>
      <c r="M17" s="4">
        <v>5872</v>
      </c>
      <c r="N17" s="4">
        <v>13857</v>
      </c>
      <c r="O17" s="4">
        <v>31</v>
      </c>
      <c r="P17" s="4">
        <v>1017</v>
      </c>
      <c r="Q17" s="4">
        <v>29005</v>
      </c>
      <c r="R17" s="4">
        <v>9627</v>
      </c>
      <c r="S17" s="4">
        <v>18042</v>
      </c>
      <c r="T17" s="4">
        <v>16</v>
      </c>
      <c r="U17" s="4">
        <v>1319</v>
      </c>
      <c r="V17" s="4">
        <v>63336</v>
      </c>
      <c r="W17" s="4">
        <v>23279</v>
      </c>
      <c r="X17" s="4">
        <v>38409</v>
      </c>
      <c r="Y17" s="4">
        <v>37</v>
      </c>
      <c r="Z17" s="4">
        <v>1611</v>
      </c>
      <c r="AA17" s="4">
        <v>171399</v>
      </c>
      <c r="AB17" s="4">
        <v>67046</v>
      </c>
      <c r="AC17" s="4">
        <v>102640</v>
      </c>
      <c r="AD17" s="4">
        <v>46</v>
      </c>
      <c r="AE17" s="4">
        <v>1666</v>
      </c>
    </row>
    <row r="18" spans="1:31" x14ac:dyDescent="0.25">
      <c r="A18" s="3" t="s">
        <v>23</v>
      </c>
      <c r="B18" s="4">
        <v>297810</v>
      </c>
      <c r="C18" s="4">
        <v>62042</v>
      </c>
      <c r="D18" s="4">
        <v>222641</v>
      </c>
      <c r="E18" s="4">
        <v>720</v>
      </c>
      <c r="F18" s="4">
        <v>12407</v>
      </c>
      <c r="G18" s="4">
        <v>16311</v>
      </c>
      <c r="H18" s="4">
        <v>2996</v>
      </c>
      <c r="I18" s="4">
        <v>11796</v>
      </c>
      <c r="J18" s="4">
        <v>114</v>
      </c>
      <c r="K18" s="4">
        <v>1405</v>
      </c>
      <c r="L18" s="4">
        <v>28781</v>
      </c>
      <c r="M18" s="4">
        <v>5347</v>
      </c>
      <c r="N18" s="4">
        <v>21398</v>
      </c>
      <c r="O18" s="4">
        <v>130</v>
      </c>
      <c r="P18" s="4">
        <v>1906</v>
      </c>
      <c r="Q18" s="4">
        <v>27187</v>
      </c>
      <c r="R18" s="4">
        <v>5729</v>
      </c>
      <c r="S18" s="4">
        <v>19677</v>
      </c>
      <c r="T18" s="4">
        <v>128</v>
      </c>
      <c r="U18" s="4">
        <v>1653</v>
      </c>
      <c r="V18" s="4">
        <v>64401</v>
      </c>
      <c r="W18" s="4">
        <v>14333</v>
      </c>
      <c r="X18" s="4">
        <v>46554</v>
      </c>
      <c r="Y18" s="4">
        <v>193</v>
      </c>
      <c r="Z18" s="4">
        <v>3321</v>
      </c>
      <c r="AA18" s="4">
        <v>161131</v>
      </c>
      <c r="AB18" s="4">
        <v>33637</v>
      </c>
      <c r="AC18" s="4">
        <v>123216</v>
      </c>
      <c r="AD18" s="4">
        <v>156</v>
      </c>
      <c r="AE18" s="4">
        <v>4122</v>
      </c>
    </row>
    <row r="19" spans="1:31" x14ac:dyDescent="0.25">
      <c r="A19" s="3" t="s">
        <v>24</v>
      </c>
      <c r="B19" s="4">
        <v>298066</v>
      </c>
      <c r="C19" s="4">
        <v>49283</v>
      </c>
      <c r="D19" s="4">
        <v>231386</v>
      </c>
      <c r="E19" s="4">
        <v>1284</v>
      </c>
      <c r="F19" s="4">
        <v>16113</v>
      </c>
      <c r="G19" s="4">
        <v>22689</v>
      </c>
      <c r="H19" s="4">
        <v>3121</v>
      </c>
      <c r="I19" s="4">
        <v>17347</v>
      </c>
      <c r="J19" s="4">
        <v>270</v>
      </c>
      <c r="K19" s="4">
        <v>1952</v>
      </c>
      <c r="L19" s="4">
        <v>34073</v>
      </c>
      <c r="M19" s="4">
        <v>5710</v>
      </c>
      <c r="N19" s="4">
        <v>25020</v>
      </c>
      <c r="O19" s="4">
        <v>286</v>
      </c>
      <c r="P19" s="4">
        <v>3058</v>
      </c>
      <c r="Q19" s="4">
        <v>25664</v>
      </c>
      <c r="R19" s="4">
        <v>4615</v>
      </c>
      <c r="S19" s="4">
        <v>18749</v>
      </c>
      <c r="T19" s="4">
        <v>130</v>
      </c>
      <c r="U19" s="4">
        <v>2170</v>
      </c>
      <c r="V19" s="4">
        <v>65764</v>
      </c>
      <c r="W19" s="4">
        <v>11274</v>
      </c>
      <c r="X19" s="4">
        <v>50630</v>
      </c>
      <c r="Y19" s="4">
        <v>232</v>
      </c>
      <c r="Z19" s="4">
        <v>3629</v>
      </c>
      <c r="AA19" s="4">
        <v>149876</v>
      </c>
      <c r="AB19" s="4">
        <v>24563</v>
      </c>
      <c r="AC19" s="4">
        <v>119641</v>
      </c>
      <c r="AD19" s="4">
        <v>367</v>
      </c>
      <c r="AE19" s="4">
        <v>5304</v>
      </c>
    </row>
    <row r="20" spans="1:31" x14ac:dyDescent="0.25">
      <c r="A20" s="3" t="s">
        <v>25</v>
      </c>
      <c r="B20" s="4">
        <v>311477</v>
      </c>
      <c r="C20" s="4">
        <v>45754</v>
      </c>
      <c r="D20" s="4">
        <v>242192</v>
      </c>
      <c r="E20" s="4">
        <v>2941</v>
      </c>
      <c r="F20" s="4">
        <v>20591</v>
      </c>
      <c r="G20" s="4">
        <v>37995</v>
      </c>
      <c r="H20" s="4">
        <v>5181</v>
      </c>
      <c r="I20" s="4">
        <v>28401</v>
      </c>
      <c r="J20" s="4">
        <v>754</v>
      </c>
      <c r="K20" s="4">
        <v>3659</v>
      </c>
      <c r="L20" s="4">
        <v>49389</v>
      </c>
      <c r="M20" s="4">
        <v>6951</v>
      </c>
      <c r="N20" s="4">
        <v>37037</v>
      </c>
      <c r="O20" s="4">
        <v>622</v>
      </c>
      <c r="P20" s="4">
        <v>4779</v>
      </c>
      <c r="Q20" s="4">
        <v>35936</v>
      </c>
      <c r="R20" s="4">
        <v>5463</v>
      </c>
      <c r="S20" s="4">
        <v>27146</v>
      </c>
      <c r="T20" s="4">
        <v>411</v>
      </c>
      <c r="U20" s="4">
        <v>2915</v>
      </c>
      <c r="V20" s="4">
        <v>60039</v>
      </c>
      <c r="W20" s="4">
        <v>9681</v>
      </c>
      <c r="X20" s="4">
        <v>46069</v>
      </c>
      <c r="Y20" s="4">
        <v>471</v>
      </c>
      <c r="Z20" s="4">
        <v>3818</v>
      </c>
      <c r="AA20" s="4">
        <v>128118</v>
      </c>
      <c r="AB20" s="4">
        <v>18478</v>
      </c>
      <c r="AC20" s="4">
        <v>103538</v>
      </c>
      <c r="AD20" s="4">
        <v>682</v>
      </c>
      <c r="AE20" s="4">
        <v>5419</v>
      </c>
    </row>
    <row r="21" spans="1:31" x14ac:dyDescent="0.25">
      <c r="A21" s="3" t="s">
        <v>26</v>
      </c>
      <c r="B21" s="4">
        <v>294231</v>
      </c>
      <c r="C21" s="4">
        <v>38701</v>
      </c>
      <c r="D21" s="4">
        <v>228946</v>
      </c>
      <c r="E21" s="4">
        <v>4787</v>
      </c>
      <c r="F21" s="4">
        <v>21797</v>
      </c>
      <c r="G21" s="4">
        <v>61116</v>
      </c>
      <c r="H21" s="4">
        <v>8310</v>
      </c>
      <c r="I21" s="4">
        <v>45567</v>
      </c>
      <c r="J21" s="4">
        <v>1668</v>
      </c>
      <c r="K21" s="4">
        <v>5571</v>
      </c>
      <c r="L21" s="4">
        <v>64452</v>
      </c>
      <c r="M21" s="4">
        <v>8271</v>
      </c>
      <c r="N21" s="4">
        <v>49188</v>
      </c>
      <c r="O21" s="4">
        <v>1118</v>
      </c>
      <c r="P21" s="4">
        <v>5874</v>
      </c>
      <c r="Q21" s="4">
        <v>35739</v>
      </c>
      <c r="R21" s="4">
        <v>4961</v>
      </c>
      <c r="S21" s="4">
        <v>27151</v>
      </c>
      <c r="T21" s="4">
        <v>724</v>
      </c>
      <c r="U21" s="4">
        <v>2904</v>
      </c>
      <c r="V21" s="4">
        <v>46240</v>
      </c>
      <c r="W21" s="4">
        <v>6060</v>
      </c>
      <c r="X21" s="4">
        <v>36200</v>
      </c>
      <c r="Y21" s="4">
        <v>612</v>
      </c>
      <c r="Z21" s="4">
        <v>3367</v>
      </c>
      <c r="AA21" s="4">
        <v>86683</v>
      </c>
      <c r="AB21" s="4">
        <v>11099</v>
      </c>
      <c r="AC21" s="4">
        <v>70839</v>
      </c>
      <c r="AD21" s="4">
        <v>665</v>
      </c>
      <c r="AE21" s="4">
        <v>4081</v>
      </c>
    </row>
    <row r="22" spans="1:31" x14ac:dyDescent="0.25">
      <c r="C22">
        <f>C14/$B$14</f>
        <v>0.24700742189937958</v>
      </c>
      <c r="D22">
        <f t="shared" ref="D22:F22" si="0">D14/$B$14</f>
        <v>0.64699169159951042</v>
      </c>
      <c r="E22">
        <f t="shared" si="0"/>
        <v>5.8343491158552509E-2</v>
      </c>
      <c r="F22">
        <f t="shared" si="0"/>
        <v>4.7657395342557529E-2</v>
      </c>
      <c r="G22">
        <f>G14/$B$14</f>
        <v>0.24387346215621017</v>
      </c>
      <c r="L22">
        <f>L14/$B$14</f>
        <v>0.16098528994063244</v>
      </c>
      <c r="Q22">
        <f>Q14/$B$14</f>
        <v>0.10886577532546436</v>
      </c>
      <c r="V22">
        <f>V14/$B$14</f>
        <v>0.16556076926898047</v>
      </c>
      <c r="AA22">
        <f>AA14/$B$14</f>
        <v>0.32071438488158971</v>
      </c>
    </row>
    <row r="24" spans="1:31" s="6" customFormat="1" x14ac:dyDescent="0.25">
      <c r="A24" s="6" t="s">
        <v>27</v>
      </c>
    </row>
    <row r="25" spans="1:31" x14ac:dyDescent="0.25">
      <c r="A25" t="s">
        <v>28</v>
      </c>
    </row>
    <row r="26" spans="1:31" x14ac:dyDescent="0.25">
      <c r="A26" t="s">
        <v>29</v>
      </c>
    </row>
    <row r="28" spans="1:31" x14ac:dyDescent="0.25">
      <c r="A28" t="s">
        <v>30</v>
      </c>
    </row>
    <row r="29" spans="1:31" x14ac:dyDescent="0.25">
      <c r="A29" t="s">
        <v>31</v>
      </c>
    </row>
    <row r="31" spans="1:31" s="6" customFormat="1" x14ac:dyDescent="0.25">
      <c r="A31" s="6" t="s">
        <v>32</v>
      </c>
    </row>
    <row r="32" spans="1:31" x14ac:dyDescent="0.25">
      <c r="A32" t="s">
        <v>33</v>
      </c>
    </row>
    <row r="33" spans="1:1" x14ac:dyDescent="0.25">
      <c r="A33" t="s">
        <v>34</v>
      </c>
    </row>
    <row r="34" spans="1:1" x14ac:dyDescent="0.25">
      <c r="A34" t="s">
        <v>35</v>
      </c>
    </row>
    <row r="35" spans="1:1" x14ac:dyDescent="0.25">
      <c r="A35" t="s">
        <v>36</v>
      </c>
    </row>
    <row r="36" spans="1:1" x14ac:dyDescent="0.25">
      <c r="A36" t="s">
        <v>37</v>
      </c>
    </row>
    <row r="37" spans="1:1" x14ac:dyDescent="0.25">
      <c r="A37" t="s">
        <v>38</v>
      </c>
    </row>
    <row r="38" spans="1:1" x14ac:dyDescent="0.25">
      <c r="A38" t="s">
        <v>39</v>
      </c>
    </row>
    <row r="39" spans="1:1" x14ac:dyDescent="0.25">
      <c r="A39" t="s">
        <v>40</v>
      </c>
    </row>
    <row r="41" spans="1:1" s="6" customFormat="1" x14ac:dyDescent="0.25">
      <c r="A41" s="6" t="s">
        <v>41</v>
      </c>
    </row>
    <row r="42" spans="1:1" x14ac:dyDescent="0.25">
      <c r="A42" t="s">
        <v>42</v>
      </c>
    </row>
    <row r="44" spans="1:1" s="6" customFormat="1" x14ac:dyDescent="0.25">
      <c r="A44" s="6" t="s">
        <v>43</v>
      </c>
    </row>
    <row r="45" spans="1:1" x14ac:dyDescent="0.25">
      <c r="A45" t="s">
        <v>44</v>
      </c>
    </row>
    <row r="47" spans="1:1" x14ac:dyDescent="0.25">
      <c r="A47" t="s">
        <v>45</v>
      </c>
    </row>
    <row r="48" spans="1:1" x14ac:dyDescent="0.25">
      <c r="A48" t="s">
        <v>46</v>
      </c>
    </row>
    <row r="49" spans="1:1" x14ac:dyDescent="0.25">
      <c r="A49" t="s">
        <v>47</v>
      </c>
    </row>
  </sheetData>
  <mergeCells count="7">
    <mergeCell ref="AA11:AE11"/>
    <mergeCell ref="A11:A13"/>
    <mergeCell ref="B11:F11"/>
    <mergeCell ref="G11:K11"/>
    <mergeCell ref="L11:P11"/>
    <mergeCell ref="Q11:U11"/>
    <mergeCell ref="V11:Z11"/>
  </mergeCells>
  <hyperlinks>
    <hyperlink ref="A42" r:id="rId1" xr:uid="{00000000-0004-0000-0000-000000000000}"/>
    <hyperlink ref="A45" r:id="rId2" xr:uid="{00000000-0004-0000-0000-000001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17467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2026-04-09T05:18:48Z</dcterms:created>
  <dcterms:modified xsi:type="dcterms:W3CDTF">2026-04-09T05:27:59Z</dcterms:modified>
</cp:coreProperties>
</file>